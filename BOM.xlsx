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de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<sst xmlns="http://schemas.openxmlformats.org/spreadsheetml/2006/main" count="102" uniqueCount="65">
  <si>
    <t xml:space="preserve">Itemized Bill of Materials: Environmental Node (BOM v2)</t>
  </si>
  <si>
    <t xml:space="preserve">VK26-IITI-AHM-0602 | Design-stage. Prices in INR from the Stage 2 submission; items marked 'Estimate' need re-quoting before ordering.</t>
  </si>
  <si>
    <t xml:space="preserve">#</t>
  </si>
  <si>
    <t xml:space="preserve">Item</t>
  </si>
  <si>
    <t xml:space="preserve">Specification</t>
  </si>
  <si>
    <t xml:space="preserve">Qty</t>
  </si>
  <si>
    <t xml:space="preserve">Unit (INR)</t>
  </si>
  <si>
    <t xml:space="preserve">Total (INR)</t>
  </si>
  <si>
    <t xml:space="preserve">Lead time</t>
  </si>
  <si>
    <t xml:space="preserve">Source</t>
  </si>
  <si>
    <t xml:space="preserve">Price status</t>
  </si>
  <si>
    <t xml:space="preserve">ESP32 Dev Module</t>
  </si>
  <si>
    <t xml:space="preserve">ESP32-WROOM-32</t>
  </si>
  <si>
    <t xml:space="preserve">3-5 d</t>
  </si>
  <si>
    <t xml:space="preserve">Robu.in (IN stock)</t>
  </si>
  <si>
    <t xml:space="preserve">Quoted (v1)</t>
  </si>
  <si>
    <t xml:space="preserve">DHT22</t>
  </si>
  <si>
    <t xml:space="preserve">Temperature &amp; humidity</t>
  </si>
  <si>
    <t xml:space="preserve">3-7 d</t>
  </si>
  <si>
    <t xml:space="preserve">Amazon.in (IN stock)</t>
  </si>
  <si>
    <t xml:space="preserve">MQ-135</t>
  </si>
  <si>
    <t xml:space="preserve">Gas / air-quality index sensor</t>
  </si>
  <si>
    <t xml:space="preserve">PMS5003</t>
  </si>
  <si>
    <t xml:space="preserve">Laser PM2.5 sensor</t>
  </si>
  <si>
    <t xml:space="preserve">7-10 d</t>
  </si>
  <si>
    <t xml:space="preserve">ElectronicsHub (IN stock)</t>
  </si>
  <si>
    <t xml:space="preserve">JSN-SR04T</t>
  </si>
  <si>
    <t xml:space="preserve">Waterproof ultrasonic, IP67 probe</t>
  </si>
  <si>
    <t xml:space="preserve">Estimate</t>
  </si>
  <si>
    <t xml:space="preserve">RFM95W (SX1276)</t>
  </si>
  <si>
    <t xml:space="preserve">LoRa module, set to 865-867 MHz</t>
  </si>
  <si>
    <t xml:space="preserve">5-10 d</t>
  </si>
  <si>
    <t xml:space="preserve">Robu.in / Amazon.in (IN)</t>
  </si>
  <si>
    <t xml:space="preserve">NEO-6M</t>
  </si>
  <si>
    <t xml:space="preserve">GPS module</t>
  </si>
  <si>
    <t xml:space="preserve">5-7 d</t>
  </si>
  <si>
    <t xml:space="preserve">MicroSD module + card</t>
  </si>
  <si>
    <t xml:space="preserve">Local data storage</t>
  </si>
  <si>
    <t xml:space="preserve">TP4056</t>
  </si>
  <si>
    <t xml:space="preserve">Li-ion charge module</t>
  </si>
  <si>
    <t xml:space="preserve">2-5 d</t>
  </si>
  <si>
    <t xml:space="preserve">MT3608</t>
  </si>
  <si>
    <t xml:space="preserve">Boost converter to 5 V</t>
  </si>
  <si>
    <t xml:space="preserve">AMS1117-3.3</t>
  </si>
  <si>
    <t xml:space="preserve">3.3 V LDO regulator</t>
  </si>
  <si>
    <t xml:space="preserve">Custom PCB</t>
  </si>
  <si>
    <t xml:space="preserve">FR-4, 2-layer</t>
  </si>
  <si>
    <t xml:space="preserve">JLCPCB (import)</t>
  </si>
  <si>
    <t xml:space="preserve">18650 Li-ion cell</t>
  </si>
  <si>
    <t xml:space="preserve">3.7 V, 2600 mAh (2 in parallel)</t>
  </si>
  <si>
    <t xml:space="preserve">Solar panel</t>
  </si>
  <si>
    <t xml:space="preserve">6 V, 3 W</t>
  </si>
  <si>
    <t xml:space="preserve">Enclosure</t>
  </si>
  <si>
    <t xml:space="preserve">IP65, ABS plastic</t>
  </si>
  <si>
    <t xml:space="preserve">Local vendor</t>
  </si>
  <si>
    <t xml:space="preserve">GI mast, 32 NB x 2 m</t>
  </si>
  <si>
    <t xml:space="preserve">Pole + clamps</t>
  </si>
  <si>
    <t xml:space="preserve">Antenna, glands, fasteners</t>
  </si>
  <si>
    <t xml:space="preserve">SMA antenna, PG7, SS screws</t>
  </si>
  <si>
    <t xml:space="preserve">Total estimated cost (one node)</t>
  </si>
  <si>
    <t xml:space="preserve">Notes</t>
  </si>
  <si>
    <t xml:space="preserve">Blue = input values (qty, unit price); black = formulas.</t>
  </si>
  <si>
    <t xml:space="preserve">'Estimate' = added or revised against BOM v1 (RFM95W 865-867 MHz replaces Ra-02; waterproof JSN-SR04T replaces HC-SR04; solar panel, mast and second cell added). Re-quote before ordering.</t>
  </si>
  <si>
    <t xml:space="preserve">Gateway (ESP32, LoRa, GSM, enclosure, pole) is costed separately at about INR 3,500 (estimate).</t>
  </si>
  <si>
    <t xml:space="preserve">Source: Stage 2 submission, slide 13.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</si>
</sst>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6"/>
    <col collapsed="false" customWidth="true" hidden="false" outlineLevel="0" max="7" min="5" style="0" width="12"/>
    <col collapsed="false" customWidth="true" hidden="false" outlineLevel="0" max="8" min="8" style="0" width="26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4" t="s">
        <v>11</v>
      </c>
      <c r="C5" s="4" t="s">
        <v>12</v>
      </c>
      <c r="D5" s="5" t="n">
        <v>1</v>
      </c>
      <c r="E5" s="6" t="n">
        <v>600</v>
      </c>
      <c r="F5" s="7" t="n">
        <f aca="false">D5*E5</f>
        <v>600</v>
      </c>
      <c r="G5" s="4" t="s">
        <v>13</v>
      </c>
      <c r="H5" s="4" t="s">
        <v>14</v>
      </c>
      <c r="I5" s="4" t="s">
        <v>15</v>
      </c>
    </row>
    <row r="6" customFormat="false" ht="15" hidden="false" customHeight="false" outlineLevel="0" collapsed="false">
      <c r="A6" s="4" t="n">
        <v>2</v>
      </c>
      <c r="B6" s="4" t="s">
        <v>16</v>
      </c>
      <c r="C6" s="4" t="s">
        <v>17</v>
      </c>
      <c r="D6" s="5" t="n">
        <v>1</v>
      </c>
      <c r="E6" s="6" t="n">
        <v>180</v>
      </c>
      <c r="F6" s="7" t="n">
        <f aca="false">D6*E6</f>
        <v>180</v>
      </c>
      <c r="G6" s="4" t="s">
        <v>18</v>
      </c>
      <c r="H6" s="4" t="s">
        <v>19</v>
      </c>
      <c r="I6" s="4" t="s">
        <v>15</v>
      </c>
    </row>
    <row r="7" customFormat="false" ht="15" hidden="false" customHeight="false" outlineLevel="0" collapsed="false">
      <c r="A7" s="4" t="n">
        <v>3</v>
      </c>
      <c r="B7" s="4" t="s">
        <v>20</v>
      </c>
      <c r="C7" s="4" t="s">
        <v>21</v>
      </c>
      <c r="D7" s="5" t="n">
        <v>1</v>
      </c>
      <c r="E7" s="6" t="n">
        <v>150</v>
      </c>
      <c r="F7" s="7" t="n">
        <f aca="false">D7*E7</f>
        <v>150</v>
      </c>
      <c r="G7" s="4" t="s">
        <v>18</v>
      </c>
      <c r="H7" s="4" t="s">
        <v>14</v>
      </c>
      <c r="I7" s="4" t="s">
        <v>15</v>
      </c>
    </row>
    <row r="8" customFormat="false" ht="15" hidden="false" customHeight="false" outlineLevel="0" collapsed="false">
      <c r="A8" s="4" t="n">
        <v>4</v>
      </c>
      <c r="B8" s="4" t="s">
        <v>22</v>
      </c>
      <c r="C8" s="4" t="s">
        <v>23</v>
      </c>
      <c r="D8" s="5" t="n">
        <v>1</v>
      </c>
      <c r="E8" s="6" t="n">
        <v>1800</v>
      </c>
      <c r="F8" s="7" t="n">
        <f aca="false">D8*E8</f>
        <v>1800</v>
      </c>
      <c r="G8" s="4" t="s">
        <v>24</v>
      </c>
      <c r="H8" s="4" t="s">
        <v>25</v>
      </c>
      <c r="I8" s="4" t="s">
        <v>15</v>
      </c>
    </row>
    <row r="9" customFormat="false" ht="15" hidden="false" customHeight="false" outlineLevel="0" collapsed="false">
      <c r="A9" s="4" t="n">
        <v>5</v>
      </c>
      <c r="B9" s="4" t="s">
        <v>26</v>
      </c>
      <c r="C9" s="4" t="s">
        <v>27</v>
      </c>
      <c r="D9" s="5" t="n">
        <v>1</v>
      </c>
      <c r="E9" s="6" t="n">
        <v>450</v>
      </c>
      <c r="F9" s="7" t="n">
        <f aca="false">D9*E9</f>
        <v>450</v>
      </c>
      <c r="G9" s="4" t="s">
        <v>18</v>
      </c>
      <c r="H9" s="4" t="s">
        <v>19</v>
      </c>
      <c r="I9" s="4" t="s">
        <v>28</v>
      </c>
    </row>
    <row r="10" customFormat="false" ht="15" hidden="false" customHeight="false" outlineLevel="0" collapsed="false">
      <c r="A10" s="4" t="n">
        <v>6</v>
      </c>
      <c r="B10" s="4" t="s">
        <v>29</v>
      </c>
      <c r="C10" s="4" t="s">
        <v>30</v>
      </c>
      <c r="D10" s="5" t="n">
        <v>1</v>
      </c>
      <c r="E10" s="6" t="n">
        <v>750</v>
      </c>
      <c r="F10" s="7" t="n">
        <f aca="false">D10*E10</f>
        <v>750</v>
      </c>
      <c r="G10" s="4" t="s">
        <v>31</v>
      </c>
      <c r="H10" s="4" t="s">
        <v>32</v>
      </c>
      <c r="I10" s="4" t="s">
        <v>28</v>
      </c>
    </row>
    <row r="11" customFormat="false" ht="15" hidden="false" customHeight="false" outlineLevel="0" collapsed="false">
      <c r="A11" s="4" t="n">
        <v>7</v>
      </c>
      <c r="B11" s="4" t="s">
        <v>33</v>
      </c>
      <c r="C11" s="4" t="s">
        <v>34</v>
      </c>
      <c r="D11" s="5" t="n">
        <v>1</v>
      </c>
      <c r="E11" s="6" t="n">
        <v>350</v>
      </c>
      <c r="F11" s="7" t="n">
        <f aca="false">D11*E11</f>
        <v>350</v>
      </c>
      <c r="G11" s="4" t="s">
        <v>35</v>
      </c>
      <c r="H11" s="4" t="s">
        <v>14</v>
      </c>
      <c r="I11" s="4" t="s">
        <v>15</v>
      </c>
    </row>
    <row r="12" customFormat="false" ht="15" hidden="false" customHeight="false" outlineLevel="0" collapsed="false">
      <c r="A12" s="4" t="n">
        <v>8</v>
      </c>
      <c r="B12" s="4" t="s">
        <v>36</v>
      </c>
      <c r="C12" s="4" t="s">
        <v>37</v>
      </c>
      <c r="D12" s="5" t="n">
        <v>1</v>
      </c>
      <c r="E12" s="6" t="n">
        <v>300</v>
      </c>
      <c r="F12" s="7" t="n">
        <f aca="false">D12*E12</f>
        <v>300</v>
      </c>
      <c r="G12" s="4" t="s">
        <v>35</v>
      </c>
      <c r="H12" s="4" t="s">
        <v>19</v>
      </c>
      <c r="I12" s="4" t="s">
        <v>15</v>
      </c>
    </row>
    <row r="13" customFormat="false" ht="15" hidden="false" customHeight="false" outlineLevel="0" collapsed="false">
      <c r="A13" s="4" t="n">
        <v>9</v>
      </c>
      <c r="B13" s="4" t="s">
        <v>38</v>
      </c>
      <c r="C13" s="4" t="s">
        <v>39</v>
      </c>
      <c r="D13" s="5" t="n">
        <v>1</v>
      </c>
      <c r="E13" s="6" t="n">
        <v>50</v>
      </c>
      <c r="F13" s="7" t="n">
        <f aca="false">D13*E13</f>
        <v>50</v>
      </c>
      <c r="G13" s="4" t="s">
        <v>40</v>
      </c>
      <c r="H13" s="4" t="s">
        <v>19</v>
      </c>
      <c r="I13" s="4" t="s">
        <v>15</v>
      </c>
    </row>
    <row r="14" customFormat="false" ht="15" hidden="false" customHeight="false" outlineLevel="0" collapsed="false">
      <c r="A14" s="4" t="n">
        <v>10</v>
      </c>
      <c r="B14" s="4" t="s">
        <v>41</v>
      </c>
      <c r="C14" s="4" t="s">
        <v>42</v>
      </c>
      <c r="D14" s="5" t="n">
        <v>1</v>
      </c>
      <c r="E14" s="6" t="n">
        <v>70</v>
      </c>
      <c r="F14" s="7" t="n">
        <f aca="false">D14*E14</f>
        <v>70</v>
      </c>
      <c r="G14" s="4" t="s">
        <v>40</v>
      </c>
      <c r="H14" s="4" t="s">
        <v>19</v>
      </c>
      <c r="I14" s="4" t="s">
        <v>15</v>
      </c>
    </row>
    <row r="15" customFormat="false" ht="15" hidden="false" customHeight="false" outlineLevel="0" collapsed="false">
      <c r="A15" s="4" t="n">
        <v>11</v>
      </c>
      <c r="B15" s="4" t="s">
        <v>43</v>
      </c>
      <c r="C15" s="4" t="s">
        <v>44</v>
      </c>
      <c r="D15" s="5" t="n">
        <v>1</v>
      </c>
      <c r="E15" s="6" t="n">
        <v>20</v>
      </c>
      <c r="F15" s="7" t="n">
        <f aca="false">D15*E15</f>
        <v>20</v>
      </c>
      <c r="G15" s="4" t="s">
        <v>40</v>
      </c>
      <c r="H15" s="4" t="s">
        <v>14</v>
      </c>
      <c r="I15" s="4" t="s">
        <v>15</v>
      </c>
    </row>
    <row r="16" customFormat="false" ht="15" hidden="false" customHeight="false" outlineLevel="0" collapsed="false">
      <c r="A16" s="4" t="n">
        <v>12</v>
      </c>
      <c r="B16" s="4" t="s">
        <v>45</v>
      </c>
      <c r="C16" s="4" t="s">
        <v>46</v>
      </c>
      <c r="D16" s="5" t="n">
        <v>1</v>
      </c>
      <c r="E16" s="6" t="n">
        <v>300</v>
      </c>
      <c r="F16" s="7" t="n">
        <f aca="false">D16*E16</f>
        <v>300</v>
      </c>
      <c r="G16" s="4" t="s">
        <v>24</v>
      </c>
      <c r="H16" s="4" t="s">
        <v>47</v>
      </c>
      <c r="I16" s="4" t="s">
        <v>15</v>
      </c>
    </row>
    <row r="17" customFormat="false" ht="15" hidden="false" customHeight="false" outlineLevel="0" collapsed="false">
      <c r="A17" s="4" t="n">
        <v>13</v>
      </c>
      <c r="B17" s="4" t="s">
        <v>48</v>
      </c>
      <c r="C17" s="4" t="s">
        <v>49</v>
      </c>
      <c r="D17" s="5" t="n">
        <v>2</v>
      </c>
      <c r="E17" s="6" t="n">
        <v>250</v>
      </c>
      <c r="F17" s="7" t="n">
        <f aca="false">D17*E17</f>
        <v>500</v>
      </c>
      <c r="G17" s="4" t="s">
        <v>18</v>
      </c>
      <c r="H17" s="4" t="s">
        <v>19</v>
      </c>
      <c r="I17" s="4" t="s">
        <v>28</v>
      </c>
    </row>
    <row r="18" customFormat="false" ht="15" hidden="false" customHeight="false" outlineLevel="0" collapsed="false">
      <c r="A18" s="4" t="n">
        <v>14</v>
      </c>
      <c r="B18" s="4" t="s">
        <v>50</v>
      </c>
      <c r="C18" s="4" t="s">
        <v>51</v>
      </c>
      <c r="D18" s="5" t="n">
        <v>1</v>
      </c>
      <c r="E18" s="6" t="n">
        <v>350</v>
      </c>
      <c r="F18" s="7" t="n">
        <f aca="false">D18*E18</f>
        <v>350</v>
      </c>
      <c r="G18" s="4" t="s">
        <v>18</v>
      </c>
      <c r="H18" s="4" t="s">
        <v>19</v>
      </c>
      <c r="I18" s="4" t="s">
        <v>28</v>
      </c>
    </row>
    <row r="19" customFormat="false" ht="15" hidden="false" customHeight="false" outlineLevel="0" collapsed="false">
      <c r="A19" s="4" t="n">
        <v>15</v>
      </c>
      <c r="B19" s="4" t="s">
        <v>52</v>
      </c>
      <c r="C19" s="4" t="s">
        <v>53</v>
      </c>
      <c r="D19" s="5" t="n">
        <v>1</v>
      </c>
      <c r="E19" s="6" t="n">
        <v>450</v>
      </c>
      <c r="F19" s="7" t="n">
        <f aca="false">D19*E19</f>
        <v>450</v>
      </c>
      <c r="G19" s="4" t="s">
        <v>31</v>
      </c>
      <c r="H19" s="4" t="s">
        <v>54</v>
      </c>
      <c r="I19" s="4" t="s">
        <v>15</v>
      </c>
    </row>
    <row r="20" customFormat="false" ht="15" hidden="false" customHeight="false" outlineLevel="0" collapsed="false">
      <c r="A20" s="4" t="n">
        <v>16</v>
      </c>
      <c r="B20" s="4" t="s">
        <v>55</v>
      </c>
      <c r="C20" s="4" t="s">
        <v>56</v>
      </c>
      <c r="D20" s="5" t="n">
        <v>1</v>
      </c>
      <c r="E20" s="6" t="n">
        <v>350</v>
      </c>
      <c r="F20" s="7" t="n">
        <f aca="false">D20*E20</f>
        <v>350</v>
      </c>
      <c r="G20" s="4" t="s">
        <v>18</v>
      </c>
      <c r="H20" s="4" t="s">
        <v>54</v>
      </c>
      <c r="I20" s="4" t="s">
        <v>28</v>
      </c>
    </row>
    <row r="21" customFormat="false" ht="15" hidden="false" customHeight="false" outlineLevel="0" collapsed="false">
      <c r="A21" s="4" t="n">
        <v>17</v>
      </c>
      <c r="B21" s="4" t="s">
        <v>57</v>
      </c>
      <c r="C21" s="4" t="s">
        <v>58</v>
      </c>
      <c r="D21" s="5" t="n">
        <v>1</v>
      </c>
      <c r="E21" s="6" t="n">
        <v>150</v>
      </c>
      <c r="F21" s="7" t="n">
        <f aca="false">D21*E21</f>
        <v>150</v>
      </c>
      <c r="G21" s="4" t="s">
        <v>18</v>
      </c>
      <c r="H21" s="4" t="s">
        <v>19</v>
      </c>
      <c r="I21" s="4" t="s">
        <v>28</v>
      </c>
    </row>
    <row r="22" customFormat="false" ht="15" hidden="false" customHeight="false" outlineLevel="0" collapsed="false">
      <c r="B22" s="8" t="s">
        <v>59</v>
      </c>
      <c r="D22" s="8" t="n">
        <f aca="false">SUM(D5:D21)</f>
        <v>18</v>
      </c>
      <c r="F22" s="9" t="n">
        <f aca="false">SUM(F5:F21)</f>
        <v>6820</v>
      </c>
    </row>
    <row r="24" customFormat="false" ht="15" hidden="false" customHeight="false" outlineLevel="0" collapsed="false">
      <c r="A24" s="8" t="s">
        <v>60</v>
      </c>
    </row>
    <row r="25" customFormat="false" ht="15" hidden="false" customHeight="false" outlineLevel="0" collapsed="false">
      <c r="A25" s="10" t="s">
        <v>61</v>
      </c>
    </row>
    <row r="26" customFormat="false" ht="15" hidden="false" customHeight="false" outlineLevel="0" collapsed="false">
      <c r="A26" s="10" t="s">
        <v>62</v>
      </c>
    </row>
    <row r="27" customFormat="false" ht="15" hidden="false" customHeight="false" outlineLevel="0" collapsed="false">
      <c r="A27" s="10" t="s">
        <v>63</v>
      </c>
    </row>
    <row r="28" customFormat="false" ht="15" hidden="false" customHeight="false" outlineLevel="0" collapsed="false">
      <c r="A28" s="1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2026-10-25T17:14:28Z</dcterms:created>
  <dc:creator>openpyxl</dc:creator>
  <dc:description/>
  <dc:language>en-US</dc:language>
  <cp:lastModifiedBy/>
  <dcterms:modified xsi:type="dcterms:W3CDTF">2026-10-25T17:14:28Z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